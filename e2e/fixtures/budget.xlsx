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<sst xmlns="http://schemas.openxmlformats.org/spreadsheetml/2006/main" count="16" uniqueCount="16">
  <si>
    <t>Date</t>
  </si>
  <si>
    <t>Expense</t>
  </si>
  <si>
    <t>Total cost</t>
  </si>
  <si>
    <t>Cost per person</t>
  </si>
  <si>
    <t>Notes</t>
  </si>
  <si>
    <t>Column 1</t>
  </si>
  <si>
    <t>Sushiro</t>
  </si>
  <si>
    <t>Extras</t>
  </si>
  <si>
    <t>Shinkansen Tokyo - Kanazawa</t>
  </si>
  <si>
    <t>Transport</t>
  </si>
  <si>
    <t>Airbnb Kyoto</t>
  </si>
  <si>
    <t>Logement</t>
  </si>
  <si>
    <t>2 nuits</t>
  </si>
  <si>
    <t>-</t>
  </si>
  <si>
    <t>Suica</t>
  </si>
  <si>
    <t>TRANSPORT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</si>
</sst>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H1" t="s" s="0">
        <v>15</v>
      </c>
    </row>
    <row r="2">
      <c r="A2" s="1">
        <v>45736</v>
      </c>
      <c r="B2" t="s" s="0">
        <v>6</v>
      </c>
      <c r="C2" s="2">
        <v>23.83</v>
      </c>
      <c r="D2" s="2">
        <f>C2/2</f>
        <v>11.915</v>
      </c>
      <c r="F2" t="s" s="0">
        <v>7</v>
      </c>
      <c r="H2" s="2">
        <f>SUMIF(F:F,"Transport",C:C)</f>
        <v>175.39</v>
      </c>
    </row>
    <row r="3">
      <c r="A3" s="1">
        <v>45736</v>
      </c>
      <c r="B3" t="s" s="0">
        <v>8</v>
      </c>
      <c r="C3" s="2">
        <v>175.39</v>
      </c>
      <c r="D3" s="2">
        <f>C3/2</f>
        <v>87.695</v>
      </c>
      <c r="F3" t="s" s="0">
        <v>9</v>
      </c>
    </row>
    <row r="4">
      <c r="A4" s="1">
        <v>45689</v>
      </c>
      <c r="B4" t="s" s="0">
        <v>10</v>
      </c>
      <c r="C4" s="2">
        <v>512.76</v>
      </c>
      <c r="D4" s="2">
        <f>C4/2</f>
        <v>256.38</v>
      </c>
      <c r="E4" t="s" s="0">
        <v>12</v>
      </c>
      <c r="F4" t="s" s="0">
        <v>11</v>
      </c>
    </row>
    <row r="5">
      <c r="A5" t="s" s="0">
        <v>13</v>
      </c>
      <c r="B5" t="s" s="0">
        <v>14</v>
      </c>
      <c r="C5" s="2">
        <f>SUM(12.48,30.94,30.93)</f>
        <v>74.35</v>
      </c>
      <c r="D5" s="2">
        <f>C5/2</f>
        <v>37.175</v>
      </c>
      <c r="F5" t="s" s="0">
        <v>7</v>
      </c>
    </row>
    <row r="6">
      <c r="C6" s="2">
        <f>SUM(C2:C5)</f>
        <v>786.33</v>
      </c>
      <c r="D6" s="2">
        <f>C6/2</f>
        <v>393.165</v>
      </c>
    </row>
  </sheetData>
</worksheet>
</file>